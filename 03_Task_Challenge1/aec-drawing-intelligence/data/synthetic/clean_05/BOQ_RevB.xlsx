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Q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b val="1"/>
    </font>
    <font>
      <b val="1"/>
      <i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10" customWidth="1" min="1" max="1"/>
    <col width="58" customWidth="1" min="2" max="2"/>
    <col width="14" customWidth="1" min="3" max="3"/>
    <col width="7" customWidth="1" min="4" max="4"/>
    <col width="7" customWidth="1" min="5" max="5"/>
    <col width="12" customWidth="1" min="6" max="6"/>
    <col width="14" customWidth="1" min="7" max="7"/>
  </cols>
  <sheetData>
    <row r="1">
      <c r="A1" s="1" t="inlineStr">
        <is>
          <t>RIVERSIDE COMMUNITY CLINIC - BILL OF QUANTITIES (REV B)</t>
        </is>
      </c>
    </row>
    <row r="2">
      <c r="A2" t="inlineStr">
        <is>
          <t>Synthetic sample for software demonstration. Quantities are for pricing only.</t>
        </is>
      </c>
    </row>
    <row r="4">
      <c r="A4" s="2" t="inlineStr">
        <is>
          <t>ITEM</t>
        </is>
      </c>
      <c r="B4" s="2" t="inlineStr">
        <is>
          <t>DESCRIPTION</t>
        </is>
      </c>
      <c r="C4" s="2" t="inlineStr">
        <is>
          <t>SPEC SECTION</t>
        </is>
      </c>
      <c r="D4" s="2" t="inlineStr">
        <is>
          <t>UNIT</t>
        </is>
      </c>
      <c r="E4" s="2" t="inlineStr">
        <is>
          <t>QTY</t>
        </is>
      </c>
      <c r="F4" s="2" t="inlineStr">
        <is>
          <t>RATE (USD)</t>
        </is>
      </c>
      <c r="G4" s="2" t="inlineStr">
        <is>
          <t>AMOUNT (USD)</t>
        </is>
      </c>
    </row>
    <row r="5">
      <c r="A5" s="3" t="inlineStr">
        <is>
          <t>DIVISION 08 - OPENINGS</t>
        </is>
      </c>
      <c r="B5" s="4" t="n"/>
      <c r="C5" s="4" t="n"/>
      <c r="D5" s="4" t="n"/>
      <c r="E5" s="4" t="n"/>
      <c r="F5" s="4" t="n"/>
      <c r="G5" s="4" t="n"/>
    </row>
    <row r="6">
      <c r="A6" s="4" t="inlineStr">
        <is>
          <t>08-100</t>
        </is>
      </c>
      <c r="B6" s="4" t="inlineStr">
        <is>
          <t>Door type D1: flush wood, solid core, 3'-0" x 7'-0"</t>
        </is>
      </c>
      <c r="C6" s="4" t="inlineStr">
        <is>
          <t>08 14 16</t>
        </is>
      </c>
      <c r="D6" s="4" t="inlineStr">
        <is>
          <t>EA</t>
        </is>
      </c>
      <c r="E6" s="4" t="n">
        <v>8</v>
      </c>
      <c r="F6" s="4" t="n">
        <v>1450</v>
      </c>
      <c r="G6" s="4">
        <f>E6*F6</f>
        <v/>
      </c>
    </row>
    <row r="7">
      <c r="A7" s="4" t="inlineStr">
        <is>
          <t>08-110</t>
        </is>
      </c>
      <c r="B7" s="4" t="inlineStr">
        <is>
          <t>Door type D2: hollow metal, flush, 3'-0" x 7'-0"</t>
        </is>
      </c>
      <c r="C7" s="4" t="inlineStr">
        <is>
          <t>08 11 13</t>
        </is>
      </c>
      <c r="D7" s="4" t="inlineStr">
        <is>
          <t>EA</t>
        </is>
      </c>
      <c r="E7" s="4" t="n">
        <v>3</v>
      </c>
      <c r="F7" s="4" t="n">
        <v>1180</v>
      </c>
      <c r="G7" s="4">
        <f>E7*F7</f>
        <v/>
      </c>
    </row>
    <row r="8">
      <c r="A8" s="4" t="inlineStr">
        <is>
          <t>08-120</t>
        </is>
      </c>
      <c r="B8" s="4" t="inlineStr">
        <is>
          <t>Door type D3: alum. storefront pair, 6'-0" x 7'-0"</t>
        </is>
      </c>
      <c r="C8" s="4" t="inlineStr">
        <is>
          <t>08 41 13</t>
        </is>
      </c>
      <c r="D8" s="4" t="inlineStr">
        <is>
          <t>EA</t>
        </is>
      </c>
      <c r="E8" s="4" t="n">
        <v>2</v>
      </c>
      <c r="F8" s="4" t="n">
        <v>6800</v>
      </c>
      <c r="G8" s="4">
        <f>E8*F8</f>
        <v/>
      </c>
    </row>
    <row r="9">
      <c r="A9" s="4" t="inlineStr">
        <is>
          <t>08-700</t>
        </is>
      </c>
      <c r="B9" s="4" t="inlineStr">
        <is>
          <t>Door hardware, complete sets per 08 71 00</t>
        </is>
      </c>
      <c r="C9" s="4" t="inlineStr">
        <is>
          <t>08 71 00</t>
        </is>
      </c>
      <c r="D9" s="4" t="inlineStr">
        <is>
          <t>SET</t>
        </is>
      </c>
      <c r="E9" s="4" t="n">
        <v>13</v>
      </c>
      <c r="F9" s="4" t="n">
        <v>640</v>
      </c>
      <c r="G9" s="4">
        <f>E9*F9</f>
        <v/>
      </c>
    </row>
    <row r="10">
      <c r="A10" s="3" t="inlineStr">
        <is>
          <t>DIVISION 23 - HVAC</t>
        </is>
      </c>
      <c r="B10" s="4" t="n"/>
      <c r="C10" s="4" t="n"/>
      <c r="D10" s="4" t="n"/>
      <c r="E10" s="4" t="n"/>
      <c r="F10" s="4" t="n"/>
      <c r="G10" s="4" t="n"/>
    </row>
    <row r="11">
      <c r="A11" s="4" t="inlineStr">
        <is>
          <t>23-100</t>
        </is>
      </c>
      <c r="B11" s="4" t="inlineStr">
        <is>
          <t>RTU-1 rooftop unit, gas/elec, 12.5 TON</t>
        </is>
      </c>
      <c r="C11" s="4" t="inlineStr">
        <is>
          <t>23 74 13</t>
        </is>
      </c>
      <c r="D11" s="4" t="inlineStr">
        <is>
          <t>EA</t>
        </is>
      </c>
      <c r="E11" s="4" t="n">
        <v>1</v>
      </c>
      <c r="F11" s="4" t="n">
        <v>21500</v>
      </c>
      <c r="G11" s="4">
        <f>E11*F11</f>
        <v/>
      </c>
    </row>
    <row r="12">
      <c r="A12" s="4" t="inlineStr">
        <is>
          <t>23-110</t>
        </is>
      </c>
      <c r="B12" s="4" t="inlineStr">
        <is>
          <t>RTU-2 rooftop unit, gas/elec, 7.5 TON</t>
        </is>
      </c>
      <c r="C12" s="4" t="inlineStr">
        <is>
          <t>23 74 13</t>
        </is>
      </c>
      <c r="D12" s="4" t="inlineStr">
        <is>
          <t>EA</t>
        </is>
      </c>
      <c r="E12" s="4" t="n">
        <v>1</v>
      </c>
      <c r="F12" s="4" t="n">
        <v>21500</v>
      </c>
      <c r="G12" s="4">
        <f>E12*F12</f>
        <v/>
      </c>
    </row>
    <row r="13">
      <c r="A13" s="4" t="inlineStr">
        <is>
          <t>23-120</t>
        </is>
      </c>
      <c r="B13" s="4" t="inlineStr">
        <is>
          <t>RTU-3 rooftop unit, gas/elec, 6 TON</t>
        </is>
      </c>
      <c r="C13" s="4" t="inlineStr">
        <is>
          <t>23 74 13</t>
        </is>
      </c>
      <c r="D13" s="4" t="inlineStr">
        <is>
          <t>EA</t>
        </is>
      </c>
      <c r="E13" s="4" t="n">
        <v>1</v>
      </c>
      <c r="F13" s="4" t="n">
        <v>21500</v>
      </c>
      <c r="G13" s="4">
        <f>E13*F13</f>
        <v/>
      </c>
    </row>
    <row r="14">
      <c r="A14" s="4" t="inlineStr">
        <is>
          <t>23-130</t>
        </is>
      </c>
      <c r="B14" s="4" t="inlineStr">
        <is>
          <t>EF-1 exhaust fan, ceiling, 300 CFM</t>
        </is>
      </c>
      <c r="C14" s="4" t="inlineStr">
        <is>
          <t>23 34 16</t>
        </is>
      </c>
      <c r="D14" s="4" t="inlineStr">
        <is>
          <t>EA</t>
        </is>
      </c>
      <c r="E14" s="4" t="n">
        <v>1</v>
      </c>
      <c r="F14" s="4" t="n">
        <v>900</v>
      </c>
      <c r="G14" s="4">
        <f>E14*F14</f>
        <v/>
      </c>
    </row>
    <row r="15">
      <c r="A15" s="4" t="inlineStr">
        <is>
          <t>23-140</t>
        </is>
      </c>
      <c r="B15" s="4" t="inlineStr">
        <is>
          <t>EF-2 exhaust fan, ceiling, 500 CFM</t>
        </is>
      </c>
      <c r="C15" s="4" t="inlineStr">
        <is>
          <t>23 34 16</t>
        </is>
      </c>
      <c r="D15" s="4" t="inlineStr">
        <is>
          <t>EA</t>
        </is>
      </c>
      <c r="E15" s="4" t="n">
        <v>1</v>
      </c>
      <c r="F15" s="4" t="n">
        <v>900</v>
      </c>
      <c r="G15" s="4">
        <f>E15*F15</f>
        <v/>
      </c>
    </row>
    <row r="16">
      <c r="A16" s="4" t="inlineStr">
        <is>
          <t>23-160</t>
        </is>
      </c>
      <c r="B16" s="4" t="inlineStr">
        <is>
          <t>VAV-1 vav terminal, 8 in., 450 CFM</t>
        </is>
      </c>
      <c r="C16" s="4" t="inlineStr">
        <is>
          <t>23 36 00</t>
        </is>
      </c>
      <c r="D16" s="4" t="inlineStr">
        <is>
          <t>EA</t>
        </is>
      </c>
      <c r="E16" s="4" t="n">
        <v>4</v>
      </c>
      <c r="F16" s="4" t="n">
        <v>1350</v>
      </c>
      <c r="G16" s="4">
        <f>E16*F16</f>
        <v/>
      </c>
    </row>
    <row r="17">
      <c r="A17" s="4" t="inlineStr">
        <is>
          <t>23-170</t>
        </is>
      </c>
      <c r="B17" s="4" t="inlineStr">
        <is>
          <t>VAV-2 vav terminal, 6 in., 250 CFM</t>
        </is>
      </c>
      <c r="C17" s="4" t="inlineStr">
        <is>
          <t>23 36 00</t>
        </is>
      </c>
      <c r="D17" s="4" t="inlineStr">
        <is>
          <t>EA</t>
        </is>
      </c>
      <c r="E17" s="4" t="n">
        <v>3</v>
      </c>
      <c r="F17" s="4" t="n">
        <v>1350</v>
      </c>
      <c r="G17" s="4">
        <f>E17*F17</f>
        <v/>
      </c>
    </row>
    <row r="18">
      <c r="A18" s="4" t="n"/>
      <c r="B18" s="4" t="n"/>
      <c r="C18" s="4" t="n"/>
      <c r="D18" s="4" t="n"/>
      <c r="E18" s="4" t="n"/>
      <c r="F18" s="4" t="n"/>
      <c r="G18" s="4" t="n"/>
    </row>
    <row r="19">
      <c r="A19" s="4" t="inlineStr"/>
      <c r="B19" s="4" t="inlineStr">
        <is>
          <t>TOTAL</t>
        </is>
      </c>
      <c r="C19" s="4" t="inlineStr"/>
      <c r="D19" s="4" t="inlineStr"/>
      <c r="E19" s="4" t="inlineStr"/>
      <c r="F19" s="4" t="inlineStr"/>
      <c r="G19" s="4">
        <f>SUM(G5:G16)</f>
        <v/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2026-10-10T07:01:23Z</dcterms:created>
  <dcterms:modified xsi:type="dcterms:W3CDTF">2026-10-10T07:01:23Z</dcterms:modified>
</cp:coreProperties>
</file>